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Sample &amp; Power" sheetId="2" state="visible" r:id="rId4"/>
    <sheet name="Decision Rule" sheetId="3" state="visible" r:id="rId5"/>
    <sheet name="Readout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<sst xmlns="http://schemas.openxmlformats.org/spreadsheetml/2006/main" count="96" uniqueCount="94">
  <si>
    <t xml:space="preserve">RouteLogic: One-Screen Compliance Check A/B Experiment Brief</t>
  </si>
  <si>
    <t xml:space="preserve">Hypothesis: replacing the three-screen compliance check with a single-screen check (same items, same required per-item driver confirmation, no pre-filled answers) raises completion within 14 days from 64% to at least 69% (+5 percentage points).</t>
  </si>
  <si>
    <t xml:space="preserve">Element</t>
  </si>
  <si>
    <t xml:space="preserve">Decision</t>
  </si>
  <si>
    <t xml:space="preserve">Control</t>
  </si>
  <si>
    <t xml:space="preserve">Three-screen compliance check, current experience</t>
  </si>
  <si>
    <t xml:space="preserve">Variant</t>
  </si>
  <si>
    <t xml:space="preserve">One-screen check. Speed gain is a disclosed part of the treatment, not a separate variable</t>
  </si>
  <si>
    <t xml:space="preserve">Held constant</t>
  </si>
  <si>
    <t xml:space="preserve">Home screen listing deliveries; B5 (step progress indicator) and B9 (audit export) visible to both arms</t>
  </si>
  <si>
    <t xml:space="preserve">Primary metric</t>
  </si>
  <si>
    <t xml:space="preserve">Compliance checks submitted with every item individually confirmed, divided by checks assigned, within 14 days. Unit: driver</t>
  </si>
  <si>
    <t xml:space="preserve">Secondary metrics</t>
  </si>
  <si>
    <t xml:space="preserve">Median open-to-submit time; abandon rate (opened, not submitted); screen-load time by arm. None drives the ship decision</t>
  </si>
  <si>
    <t xml:space="preserve">Guardrail</t>
  </si>
  <si>
    <t xml:space="preserve">Submit error and crash rate: no more than 1 point above control</t>
  </si>
  <si>
    <t xml:space="preserve">Baseline / MDE</t>
  </si>
  <si>
    <t xml:space="preserve">64% / +5 percentage points (64% to 69%)</t>
  </si>
  <si>
    <t xml:space="preserve">Population</t>
  </si>
  <si>
    <t xml:space="preserve">Accounts A and B; all drivers already enrolled, no enrollment period</t>
  </si>
  <si>
    <t xml:space="preserve">Assignment</t>
  </si>
  <si>
    <t xml:space="preserve">50/50 by driver, stratified by account, sticky, all assigned on day 0</t>
  </si>
  <si>
    <t xml:space="preserve">Window / readout</t>
  </si>
  <si>
    <t xml:space="preserve">14 days from launch; analysis on day 15; no reading of the primary metric before then</t>
  </si>
  <si>
    <t xml:space="preserve">Pre-period check</t>
  </si>
  <si>
    <t xml:space="preserve">Pull each driver's completion rate for the 14 days before launch to confirm arms are balanced</t>
  </si>
  <si>
    <t xml:space="preserve">Sample Size and Power</t>
  </si>
  <si>
    <t xml:space="preserve">Blue cells are inputs you can edit; black cells are formulas. Change an input and everything recalculates.</t>
  </si>
  <si>
    <t xml:space="preserve">Item</t>
  </si>
  <si>
    <t xml:space="preserve">Value</t>
  </si>
  <si>
    <t xml:space="preserve">Source / note</t>
  </si>
  <si>
    <t xml:space="preserve">Baseline completion rate</t>
  </si>
  <si>
    <t xml:space="preserve">User-provided brief</t>
  </si>
  <si>
    <t xml:space="preserve">Minimum detectable effect (percentage points)</t>
  </si>
  <si>
    <t xml:space="preserve">User-provided brief: +5 points, not +5% relative</t>
  </si>
  <si>
    <t xml:space="preserve">Significance level (two-sided)</t>
  </si>
  <si>
    <t xml:space="preserve">User-provided brief (p &lt; 0.05)</t>
  </si>
  <si>
    <t xml:space="preserve">Target power</t>
  </si>
  <si>
    <t xml:space="preserve">Assumption: standard 80% power; not specified in the brief</t>
  </si>
  <si>
    <t xml:space="preserve">Active drivers, account A</t>
  </si>
  <si>
    <t xml:space="preserve">User-provided</t>
  </si>
  <si>
    <t xml:space="preserve">Active drivers, account B</t>
  </si>
  <si>
    <t xml:space="preserve">Share of drivers in variant arm</t>
  </si>
  <si>
    <t xml:space="preserve">User-provided (50/50 split)</t>
  </si>
  <si>
    <t xml:space="preserve">Target completion rate</t>
  </si>
  <si>
    <t xml:space="preserve">Baseline + MDE</t>
  </si>
  <si>
    <t xml:space="preserve">Total drivers</t>
  </si>
  <si>
    <t xml:space="preserve">Accounts A + B</t>
  </si>
  <si>
    <t xml:space="preserve">Drivers per arm</t>
  </si>
  <si>
    <t xml:space="preserve">Variant arm at the stated split; control equal at 50/50</t>
  </si>
  <si>
    <t xml:space="preserve">Required drivers per arm</t>
  </si>
  <si>
    <t xml:space="preserve">Two-proportion z-test, equal arms</t>
  </si>
  <si>
    <t xml:space="preserve">Power achieved at drivers per arm</t>
  </si>
  <si>
    <t xml:space="preserve">Normal approximation</t>
  </si>
  <si>
    <t xml:space="preserve">Enough drivers for target power?</t>
  </si>
  <si>
    <t xml:space="preserve">Compares drivers per arm to required per arm</t>
  </si>
  <si>
    <t xml:space="preserve">Experiment window (days)</t>
  </si>
  <si>
    <t xml:space="preserve">Readout day</t>
  </si>
  <si>
    <t xml:space="preserve">Day after the window closes</t>
  </si>
  <si>
    <t xml:space="preserve">Notes</t>
  </si>
  <si>
    <t xml:space="preserve">A true effect much below the MDE may go undetected, so a null result means no effect larger than roughly the smallest detectable lift, not no effect at all.</t>
  </si>
  <si>
    <t xml:space="preserve">Drivers at the same depot share dispatchers and talk to each other. Expect some contamination, which biases results toward no difference.</t>
  </si>
  <si>
    <t xml:space="preserve">Decision Rule</t>
  </si>
  <si>
    <t xml:space="preserve">Analysis on day 15. No reading of the primary metric before then. Daily reliability checks run as a safety stop only.</t>
  </si>
  <si>
    <t xml:space="preserve">Outcome</t>
  </si>
  <si>
    <t xml:space="preserve">Condition</t>
  </si>
  <si>
    <t xml:space="preserve">Action</t>
  </si>
  <si>
    <t xml:space="preserve">Ship to all</t>
  </si>
  <si>
    <t xml:space="preserve">Completion lift is positive at p &lt; 0.05 AND submit error and crash rate is no more than 1 point worse than control</t>
  </si>
  <si>
    <t xml:space="preserve">Roll out the one-screen check to all drivers</t>
  </si>
  <si>
    <t xml:space="preserve">Inconclusive</t>
  </si>
  <si>
    <t xml:space="preserve">Completion lift is not statistically significant</t>
  </si>
  <si>
    <t xml:space="preserve">Rescope rather than extend; a larger rerun is not feasible with accounts A and B</t>
  </si>
  <si>
    <t xml:space="preserve">Roll back</t>
  </si>
  <si>
    <t xml:space="preserve">Reliability guardrail is breached, OR completion is significantly below control</t>
  </si>
  <si>
    <t xml:space="preserve">Revert variant arm to the three-screen check</t>
  </si>
  <si>
    <t xml:space="preserve">The 1-point guardrail limit was proposed during the brief review and accepted. No sign-off owner has been recorded yet.</t>
  </si>
  <si>
    <t xml:space="preserve">How to Read the Result</t>
  </si>
  <si>
    <t xml:space="preserve">Topic</t>
  </si>
  <si>
    <t xml:space="preserve">Note</t>
  </si>
  <si>
    <t xml:space="preserve">A win means</t>
  </si>
  <si>
    <t xml:space="preserve">More checks completed. It does not show better compliance, because no quality guardrail is in place.</t>
  </si>
  <si>
    <t xml:space="preserve">Optional hedge</t>
  </si>
  <si>
    <t xml:space="preserve">Log the flagged-item rate in both arms without making it a ship criterion; check it after the fact if the lift looks suspiciously large.</t>
  </si>
  <si>
    <t xml:space="preserve">A null result means</t>
  </si>
  <si>
    <t xml:space="preserve">No effect larger than roughly the smallest detectable lift, not no effect at all.</t>
  </si>
  <si>
    <t xml:space="preserve">Speed vs. layout</t>
  </si>
  <si>
    <t xml:space="preserve">Report the speed difference from the load-time logs, but do not claim layout alone drove the result.</t>
  </si>
  <si>
    <t xml:space="preserve">NPS</t>
  </si>
  <si>
    <t xml:space="preserve">Cannot be read from this test; treat it separately.</t>
  </si>
  <si>
    <t xml:space="preserve">Closed items</t>
  </si>
  <si>
    <t xml:space="preserve">Baseline population confirmed; the 14-day window was checked for holidays, route changes, and account events.</t>
  </si>
  <si>
    <t xml:space="preserve">Parked</t>
  </si>
  <si>
    <t xml:space="preserve">Sign-off owner for the decision rule; agree on ship, inconclusive, and roll-back rules before launch.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</si>
</sst>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"/>
    <numFmt numFmtId="167" formatCode="0%"/>
    <numFmt numFmtId="168" formatCode="#,##0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23.8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  <row r="14" customFormat="false" ht="15" hidden="false" customHeight="false" outlineLevel="0" collapsed="false">
      <c r="A14" s="4" t="s">
        <v>22</v>
      </c>
      <c r="B14" s="5" t="s">
        <v>23</v>
      </c>
    </row>
    <row r="15" customFormat="false" ht="15" hidden="false" customHeight="false" outlineLevel="0" collapsed="false">
      <c r="A15" s="4" t="s">
        <v>24</v>
      </c>
      <c r="B15" s="5" t="s">
        <v>25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6" t="s">
        <v>27</v>
      </c>
    </row>
    <row r="4" customFormat="false" ht="15" hidden="false" customHeight="false" outlineLevel="0" collapsed="false">
      <c r="A4" s="3" t="s">
        <v>28</v>
      </c>
      <c r="B4" s="3" t="s">
        <v>29</v>
      </c>
      <c r="C4" s="3" t="s">
        <v>30</v>
      </c>
    </row>
    <row r="5" customFormat="false" ht="15" hidden="false" customHeight="false" outlineLevel="0" collapsed="false">
      <c r="A5" s="4" t="s">
        <v>31</v>
      </c>
      <c r="B5" s="7" t="n">
        <v>0.64</v>
      </c>
      <c r="C5" s="5" t="s">
        <v>32</v>
      </c>
    </row>
    <row r="6" customFormat="false" ht="15" hidden="false" customHeight="false" outlineLevel="0" collapsed="false">
      <c r="A6" s="4" t="s">
        <v>33</v>
      </c>
      <c r="B6" s="7" t="n">
        <v>0.05</v>
      </c>
      <c r="C6" s="5" t="s">
        <v>34</v>
      </c>
    </row>
    <row r="7" customFormat="false" ht="15" hidden="false" customHeight="false" outlineLevel="0" collapsed="false">
      <c r="A7" s="4" t="s">
        <v>35</v>
      </c>
      <c r="B7" s="8" t="n">
        <v>0.05</v>
      </c>
      <c r="C7" s="5" t="s">
        <v>36</v>
      </c>
    </row>
    <row r="8" customFormat="false" ht="15" hidden="false" customHeight="false" outlineLevel="0" collapsed="false">
      <c r="A8" s="4" t="s">
        <v>37</v>
      </c>
      <c r="B8" s="9" t="n">
        <v>0.8</v>
      </c>
      <c r="C8" s="5" t="s">
        <v>38</v>
      </c>
    </row>
    <row r="9" customFormat="false" ht="15" hidden="false" customHeight="false" outlineLevel="0" collapsed="false">
      <c r="A9" s="4" t="s">
        <v>39</v>
      </c>
      <c r="B9" s="10" t="n">
        <v>1850</v>
      </c>
      <c r="C9" s="5" t="s">
        <v>40</v>
      </c>
    </row>
    <row r="10" customFormat="false" ht="15" hidden="false" customHeight="false" outlineLevel="0" collapsed="false">
      <c r="A10" s="4" t="s">
        <v>41</v>
      </c>
      <c r="B10" s="10" t="n">
        <v>1850</v>
      </c>
      <c r="C10" s="5" t="s">
        <v>40</v>
      </c>
    </row>
    <row r="11" customFormat="false" ht="15" hidden="false" customHeight="false" outlineLevel="0" collapsed="false">
      <c r="A11" s="4" t="s">
        <v>42</v>
      </c>
      <c r="B11" s="9" t="n">
        <v>0.5</v>
      </c>
      <c r="C11" s="5" t="s">
        <v>43</v>
      </c>
    </row>
    <row r="12" customFormat="false" ht="15" hidden="false" customHeight="false" outlineLevel="0" collapsed="false">
      <c r="A12" s="4" t="s">
        <v>44</v>
      </c>
      <c r="B12" s="11" t="n">
        <f aca="false">B5+B6</f>
        <v>0.69</v>
      </c>
      <c r="C12" s="5" t="s">
        <v>45</v>
      </c>
    </row>
    <row r="13" customFormat="false" ht="15" hidden="false" customHeight="false" outlineLevel="0" collapsed="false">
      <c r="A13" s="4" t="s">
        <v>46</v>
      </c>
      <c r="B13" s="12" t="n">
        <f aca="false">B9+B10</f>
        <v>3700</v>
      </c>
      <c r="C13" s="5" t="s">
        <v>47</v>
      </c>
    </row>
    <row r="14" customFormat="false" ht="15" hidden="false" customHeight="false" outlineLevel="0" collapsed="false">
      <c r="A14" s="4" t="s">
        <v>48</v>
      </c>
      <c r="B14" s="12" t="n">
        <f aca="false">B13*B11</f>
        <v>1850</v>
      </c>
      <c r="C14" s="5" t="s">
        <v>49</v>
      </c>
    </row>
    <row r="15" customFormat="false" ht="15" hidden="false" customHeight="false" outlineLevel="0" collapsed="false">
      <c r="A15" s="4" t="s">
        <v>50</v>
      </c>
      <c r="B15" s="12" t="n">
        <f aca="false">ROUNDUP((NORMSINV(1-B7/2)*SQRT(2*((B5+B12)/2)*(1-(B5+B12)/2))+NORMSINV(B8)*SQRT(B5*(1-B5)+B12*(1-B12)))^2/(B12-B5)^2,0)</f>
        <v>1398</v>
      </c>
      <c r="C15" s="5" t="s">
        <v>51</v>
      </c>
    </row>
    <row r="16" customFormat="false" ht="15" hidden="false" customHeight="false" outlineLevel="0" collapsed="false">
      <c r="A16" s="4" t="s">
        <v>52</v>
      </c>
      <c r="B16" s="11" t="n">
        <f aca="false">NORMSDIST((ABS(B12-B5)*SQRT(B14)-NORMSINV(1-B7/2)*SQRT(2*((B5+B12)/2)*(1-(B5+B12)/2)))/SQRT(B5*(1-B5)+B12*(1-B12)))</f>
        <v>0.896827037547406</v>
      </c>
      <c r="C16" s="5" t="s">
        <v>53</v>
      </c>
    </row>
    <row r="17" customFormat="false" ht="15" hidden="false" customHeight="false" outlineLevel="0" collapsed="false">
      <c r="A17" s="4" t="s">
        <v>54</v>
      </c>
      <c r="B17" s="13" t="str">
        <f aca="false">IF(B14&gt;=B15,"Yes","No")</f>
        <v>Yes</v>
      </c>
      <c r="C17" s="5" t="s">
        <v>55</v>
      </c>
    </row>
    <row r="18" customFormat="false" ht="15" hidden="false" customHeight="false" outlineLevel="0" collapsed="false">
      <c r="A18" s="4" t="s">
        <v>56</v>
      </c>
      <c r="B18" s="14" t="n">
        <v>14</v>
      </c>
      <c r="C18" s="5" t="s">
        <v>40</v>
      </c>
    </row>
    <row r="19" customFormat="false" ht="15" hidden="false" customHeight="false" outlineLevel="0" collapsed="false">
      <c r="A19" s="4" t="s">
        <v>57</v>
      </c>
      <c r="B19" s="15" t="n">
        <f aca="false">B18+1</f>
        <v>15</v>
      </c>
      <c r="C19" s="5" t="s">
        <v>58</v>
      </c>
    </row>
    <row r="21" customFormat="false" ht="15" hidden="false" customHeight="false" outlineLevel="0" collapsed="false">
      <c r="A21" s="16" t="s">
        <v>59</v>
      </c>
    </row>
    <row r="22" customFormat="false" ht="30" hidden="false" customHeight="true" outlineLevel="0" collapsed="false">
      <c r="A22" s="17" t="s">
        <v>60</v>
      </c>
      <c r="B22" s="17"/>
      <c r="C22" s="17"/>
    </row>
    <row r="23" customFormat="false" ht="30" hidden="false" customHeight="true" outlineLevel="0" collapsed="false">
      <c r="A23" s="17" t="s">
        <v>61</v>
      </c>
      <c r="B23" s="17"/>
      <c r="C23" s="17"/>
    </row>
  </sheetData>
  <mergeCells count="2"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6" t="s">
        <v>63</v>
      </c>
    </row>
    <row r="4" customFormat="false" ht="15" hidden="false" customHeight="false" outlineLevel="0" collapsed="false">
      <c r="A4" s="3" t="s">
        <v>64</v>
      </c>
      <c r="B4" s="3" t="s">
        <v>65</v>
      </c>
      <c r="C4" s="3" t="s">
        <v>66</v>
      </c>
    </row>
    <row r="5" customFormat="false" ht="23.85" hidden="false" customHeight="false" outlineLevel="0" collapsed="false">
      <c r="A5" s="4" t="s">
        <v>67</v>
      </c>
      <c r="B5" s="5" t="s">
        <v>68</v>
      </c>
      <c r="C5" s="5" t="s">
        <v>69</v>
      </c>
    </row>
    <row r="6" customFormat="false" ht="23.85" hidden="false" customHeight="false" outlineLevel="0" collapsed="false">
      <c r="A6" s="4" t="s">
        <v>70</v>
      </c>
      <c r="B6" s="5" t="s">
        <v>71</v>
      </c>
      <c r="C6" s="5" t="s">
        <v>72</v>
      </c>
    </row>
    <row r="7" customFormat="false" ht="15" hidden="false" customHeight="false" outlineLevel="0" collapsed="false">
      <c r="A7" s="4" t="s">
        <v>73</v>
      </c>
      <c r="B7" s="5" t="s">
        <v>74</v>
      </c>
      <c r="C7" s="5" t="s">
        <v>75</v>
      </c>
    </row>
    <row r="9" customFormat="false" ht="15" hidden="false" customHeight="false" outlineLevel="0" collapsed="false">
      <c r="A9" s="6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77</v>
      </c>
    </row>
    <row r="3" customFormat="false" ht="15" hidden="false" customHeight="false" outlineLevel="0" collapsed="false">
      <c r="A3" s="3" t="s">
        <v>78</v>
      </c>
      <c r="B3" s="3" t="s">
        <v>79</v>
      </c>
    </row>
    <row r="4" customFormat="false" ht="15" hidden="false" customHeight="false" outlineLevel="0" collapsed="false">
      <c r="A4" s="4" t="s">
        <v>80</v>
      </c>
      <c r="B4" s="5" t="s">
        <v>81</v>
      </c>
    </row>
    <row r="5" customFormat="false" ht="23.85" hidden="false" customHeight="false" outlineLevel="0" collapsed="false">
      <c r="A5" s="4" t="s">
        <v>82</v>
      </c>
      <c r="B5" s="5" t="s">
        <v>83</v>
      </c>
    </row>
    <row r="6" customFormat="false" ht="15" hidden="false" customHeight="false" outlineLevel="0" collapsed="false">
      <c r="A6" s="4" t="s">
        <v>84</v>
      </c>
      <c r="B6" s="5" t="s">
        <v>85</v>
      </c>
    </row>
    <row r="7" customFormat="false" ht="15" hidden="false" customHeight="false" outlineLevel="0" collapsed="false">
      <c r="A7" s="4" t="s">
        <v>86</v>
      </c>
      <c r="B7" s="5" t="s">
        <v>87</v>
      </c>
    </row>
    <row r="8" customFormat="false" ht="15" hidden="false" customHeight="false" outlineLevel="0" collapsed="false">
      <c r="A8" s="4" t="s">
        <v>88</v>
      </c>
      <c r="B8" s="5" t="s">
        <v>89</v>
      </c>
    </row>
    <row r="9" customFormat="false" ht="15" hidden="false" customHeight="false" outlineLevel="0" collapsed="false">
      <c r="A9" s="4" t="s">
        <v>90</v>
      </c>
      <c r="B9" s="5" t="s">
        <v>91</v>
      </c>
    </row>
    <row r="10" customFormat="false" ht="15" hidden="false" customHeight="false" outlineLevel="0" collapsed="false">
      <c r="A10" s="4" t="s">
        <v>92</v>
      </c>
      <c r="B10" s="5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2026-10-28T02:18:46Z</dcterms:created>
  <dc:creator>openpyxl</dc:creator>
  <dc:description/>
  <dc:language>en-US</dc:language>
  <cp:lastModifiedBy/>
  <dcterms:modified xsi:type="dcterms:W3CDTF">2026-10-28T02:18:46Z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